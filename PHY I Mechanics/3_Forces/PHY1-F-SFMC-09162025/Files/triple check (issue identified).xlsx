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ucf.sharepoint.com/sites/UCFTeam-ZChen-PER/Shared Documents/AI problem creation 2025/Static friction MC/"/>
    </mc:Choice>
  </mc:AlternateContent>
  <xr:revisionPtr revIDLastSave="25" documentId="8_{91A7532B-7C27-435E-9C5F-6341A6FF7957}" xr6:coauthVersionLast="47" xr6:coauthVersionMax="47" xr10:uidLastSave="{CC706262-EAED-48BE-B402-29EC238DA36E}"/>
  <bookViews>
    <workbookView xWindow="32880" yWindow="555" windowWidth="24465" windowHeight="15570" xr2:uid="{6FEDB9C9-9A82-47A0-B61E-813D6FE58E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G16" i="1"/>
  <c r="H16" i="1"/>
  <c r="G15" i="1"/>
  <c r="H15" i="1"/>
  <c r="F15" i="1"/>
  <c r="G14" i="1"/>
  <c r="H14" i="1"/>
  <c r="F14" i="1"/>
  <c r="G13" i="1"/>
  <c r="H13" i="1"/>
  <c r="F13" i="1"/>
  <c r="G12" i="1"/>
  <c r="H12" i="1"/>
  <c r="F12" i="1"/>
  <c r="F11" i="1"/>
  <c r="G11" i="1"/>
  <c r="H11" i="1"/>
  <c r="F10" i="1"/>
  <c r="G10" i="1"/>
  <c r="H10" i="1"/>
  <c r="F9" i="1"/>
  <c r="G9" i="1"/>
  <c r="H9" i="1"/>
  <c r="G8" i="1"/>
  <c r="H8" i="1"/>
  <c r="F8" i="1"/>
  <c r="F7" i="1"/>
  <c r="G7" i="1"/>
  <c r="H7" i="1"/>
  <c r="G4" i="1"/>
  <c r="H3" i="1"/>
  <c r="H4" i="1"/>
  <c r="H5" i="1"/>
  <c r="H6" i="1"/>
  <c r="G3" i="1"/>
  <c r="G5" i="1"/>
  <c r="G6" i="1"/>
  <c r="F3" i="1"/>
  <c r="F4" i="1"/>
  <c r="F5" i="1"/>
  <c r="F6" i="1"/>
  <c r="H2" i="1"/>
  <c r="F2" i="1"/>
  <c r="G2" i="1"/>
</calcChain>
</file>

<file path=xl/sharedStrings.xml><?xml version="1.0" encoding="utf-8"?>
<sst xmlns="http://schemas.openxmlformats.org/spreadsheetml/2006/main" count="8" uniqueCount="8">
  <si>
    <t>Q</t>
  </si>
  <si>
    <t>m (kg)</t>
  </si>
  <si>
    <t>theta (degrees)</t>
  </si>
  <si>
    <t>mu</t>
  </si>
  <si>
    <t>F (N)</t>
  </si>
  <si>
    <t>Fcos</t>
  </si>
  <si>
    <t>mu(mg-Fsin)</t>
  </si>
  <si>
    <t>mu*mg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</si>
</sst>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E575-2325-49DF-91E6-7A4608A959FB}">
  <dimension ref="A1:H16"/>
  <sheetViews>
    <sheetView tabSelected="1" workbookViewId="0">
      <selection activeCell="E16" sqref="E16"/>
    </sheetView>
  </sheetViews>
  <sheetFormatPr defaultRowHeight="15"/>
  <cols>
    <col min="7" max="7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300</v>
      </c>
      <c r="C2">
        <v>57.5</v>
      </c>
      <c r="D2">
        <v>0.25</v>
      </c>
      <c r="E2">
        <v>936.8</v>
      </c>
      <c r="F2">
        <f>E2*COS(RADIANS(C2))</f>
        <v>503.34227309930458</v>
      </c>
      <c r="G2">
        <f>D2*(B2*9.8-E2*SIN(RADIANS(C2)))</f>
        <v>537.47772339062215</v>
      </c>
      <c r="H2">
        <f>D2*B2*9.8</f>
        <v>735</v>
      </c>
    </row>
    <row r="3" spans="1:8">
      <c r="A3">
        <v>2</v>
      </c>
      <c r="B3">
        <v>80</v>
      </c>
      <c r="C3">
        <v>-34.799999999999997</v>
      </c>
      <c r="D3">
        <v>0.15</v>
      </c>
      <c r="E3">
        <v>149.5</v>
      </c>
      <c r="F3">
        <f t="shared" ref="F3:F16" si="0">E3*COS(RADIANS(C3))</f>
        <v>122.76180676548876</v>
      </c>
      <c r="G3">
        <f t="shared" ref="G3:G16" si="1">D3*(B3*9.8-E3*SIN(RADIANS(C3)))</f>
        <v>130.39825175532337</v>
      </c>
      <c r="H3">
        <f t="shared" ref="H3:H16" si="2">D3*B3*9.8</f>
        <v>117.60000000000001</v>
      </c>
    </row>
    <row r="4" spans="1:8">
      <c r="A4">
        <v>3</v>
      </c>
      <c r="B4">
        <v>25</v>
      </c>
      <c r="C4">
        <v>43</v>
      </c>
      <c r="D4">
        <v>0.2</v>
      </c>
      <c r="E4">
        <v>224.1</v>
      </c>
      <c r="F4">
        <f t="shared" si="0"/>
        <v>163.8963645328561</v>
      </c>
      <c r="G4" s="1">
        <f>D4*(B4*9.8-E4*SIN(RADIANS(C4)))</f>
        <v>18.432833501998825</v>
      </c>
      <c r="H4">
        <f t="shared" si="2"/>
        <v>49</v>
      </c>
    </row>
    <row r="5" spans="1:8">
      <c r="A5">
        <v>4</v>
      </c>
      <c r="B5">
        <v>1200</v>
      </c>
      <c r="C5">
        <v>20.6</v>
      </c>
      <c r="D5">
        <v>0.43</v>
      </c>
      <c r="E5">
        <v>1469.1</v>
      </c>
      <c r="F5">
        <f t="shared" si="0"/>
        <v>1375.1650639541256</v>
      </c>
      <c r="G5">
        <f t="shared" si="1"/>
        <v>4834.5370567613209</v>
      </c>
      <c r="H5">
        <f t="shared" si="2"/>
        <v>5056.8</v>
      </c>
    </row>
    <row r="6" spans="1:8">
      <c r="A6">
        <v>5</v>
      </c>
      <c r="B6">
        <v>100</v>
      </c>
      <c r="C6">
        <v>-36.200000000000003</v>
      </c>
      <c r="D6">
        <v>0.22</v>
      </c>
      <c r="E6">
        <v>153.9</v>
      </c>
      <c r="F6">
        <f t="shared" si="0"/>
        <v>124.19119203893112</v>
      </c>
      <c r="G6">
        <f t="shared" si="1"/>
        <v>235.59672669427547</v>
      </c>
      <c r="H6">
        <f t="shared" si="2"/>
        <v>215.60000000000002</v>
      </c>
    </row>
    <row r="7" spans="1:8">
      <c r="A7">
        <v>6</v>
      </c>
      <c r="B7">
        <v>40</v>
      </c>
      <c r="C7">
        <v>17</v>
      </c>
      <c r="D7">
        <v>0.34</v>
      </c>
      <c r="E7">
        <v>96.5</v>
      </c>
      <c r="F7">
        <f t="shared" si="0"/>
        <v>92.283408950432914</v>
      </c>
      <c r="G7">
        <f t="shared" si="1"/>
        <v>123.687284368047</v>
      </c>
      <c r="H7">
        <f t="shared" si="2"/>
        <v>133.28000000000003</v>
      </c>
    </row>
    <row r="8" spans="1:8">
      <c r="A8">
        <v>7</v>
      </c>
      <c r="B8">
        <v>500</v>
      </c>
      <c r="C8">
        <v>-49.3</v>
      </c>
      <c r="D8">
        <v>0.28000000000000003</v>
      </c>
      <c r="E8">
        <v>1772.2</v>
      </c>
      <c r="F8">
        <f t="shared" si="0"/>
        <v>1155.648791268221</v>
      </c>
      <c r="G8">
        <f t="shared" si="1"/>
        <v>1748.1983877706546</v>
      </c>
      <c r="H8">
        <f t="shared" si="2"/>
        <v>1372</v>
      </c>
    </row>
    <row r="9" spans="1:8">
      <c r="A9">
        <v>8</v>
      </c>
      <c r="B9">
        <v>10</v>
      </c>
      <c r="C9">
        <v>54.8</v>
      </c>
      <c r="D9">
        <v>0.42</v>
      </c>
      <c r="E9">
        <v>42.4</v>
      </c>
      <c r="F9">
        <f t="shared" si="0"/>
        <v>24.440730205599234</v>
      </c>
      <c r="G9">
        <f t="shared" si="1"/>
        <v>26.60828365044803</v>
      </c>
      <c r="H9">
        <f t="shared" si="2"/>
        <v>41.160000000000004</v>
      </c>
    </row>
    <row r="10" spans="1:8">
      <c r="A10">
        <v>9</v>
      </c>
      <c r="B10">
        <v>150</v>
      </c>
      <c r="C10">
        <v>-57.4</v>
      </c>
      <c r="D10">
        <v>0.13</v>
      </c>
      <c r="E10">
        <v>272.3</v>
      </c>
      <c r="F10">
        <f t="shared" si="0"/>
        <v>146.70728475736883</v>
      </c>
      <c r="G10">
        <f t="shared" si="1"/>
        <v>220.92197240165603</v>
      </c>
      <c r="H10">
        <f t="shared" si="2"/>
        <v>191.10000000000002</v>
      </c>
    </row>
    <row r="11" spans="1:8">
      <c r="A11">
        <v>10</v>
      </c>
      <c r="B11">
        <v>60</v>
      </c>
      <c r="C11">
        <v>45.2</v>
      </c>
      <c r="D11">
        <v>0.31</v>
      </c>
      <c r="E11">
        <v>184.2</v>
      </c>
      <c r="F11">
        <f t="shared" si="0"/>
        <v>129.79362147529412</v>
      </c>
      <c r="G11">
        <f t="shared" si="1"/>
        <v>141.76209180229156</v>
      </c>
      <c r="H11">
        <f t="shared" si="2"/>
        <v>182.28000000000003</v>
      </c>
    </row>
    <row r="12" spans="1:8">
      <c r="A12">
        <v>11</v>
      </c>
      <c r="B12">
        <v>120</v>
      </c>
      <c r="C12">
        <v>-25</v>
      </c>
      <c r="D12">
        <v>0.3</v>
      </c>
      <c r="E12">
        <v>210</v>
      </c>
      <c r="F12">
        <f t="shared" si="0"/>
        <v>190.32463527769647</v>
      </c>
      <c r="G12">
        <f t="shared" si="1"/>
        <v>379.42495048966401</v>
      </c>
      <c r="H12">
        <f t="shared" si="2"/>
        <v>352.8</v>
      </c>
    </row>
    <row r="13" spans="1:8">
      <c r="A13">
        <v>12</v>
      </c>
      <c r="B13">
        <v>90</v>
      </c>
      <c r="C13">
        <v>40</v>
      </c>
      <c r="D13">
        <v>0.28000000000000003</v>
      </c>
      <c r="E13">
        <v>235</v>
      </c>
      <c r="F13">
        <f t="shared" si="0"/>
        <v>180.02044413295982</v>
      </c>
      <c r="G13">
        <f t="shared" si="1"/>
        <v>204.66457528262578</v>
      </c>
      <c r="H13">
        <f t="shared" si="2"/>
        <v>246.96000000000004</v>
      </c>
    </row>
    <row r="14" spans="1:8">
      <c r="A14">
        <v>13</v>
      </c>
      <c r="B14">
        <v>200</v>
      </c>
      <c r="C14">
        <v>-15</v>
      </c>
      <c r="D14">
        <v>0.35</v>
      </c>
      <c r="E14">
        <v>400</v>
      </c>
      <c r="F14">
        <f t="shared" si="0"/>
        <v>386.3703305156273</v>
      </c>
      <c r="G14">
        <f t="shared" si="1"/>
        <v>722.23466631435303</v>
      </c>
      <c r="H14">
        <f t="shared" si="2"/>
        <v>686</v>
      </c>
    </row>
    <row r="15" spans="1:8">
      <c r="A15">
        <v>14</v>
      </c>
      <c r="B15">
        <v>75</v>
      </c>
      <c r="C15">
        <v>30</v>
      </c>
      <c r="D15">
        <v>0.25</v>
      </c>
      <c r="E15">
        <v>180</v>
      </c>
      <c r="F15">
        <f t="shared" si="0"/>
        <v>155.88457268119896</v>
      </c>
      <c r="G15">
        <f t="shared" si="1"/>
        <v>161.25</v>
      </c>
      <c r="H15">
        <f t="shared" si="2"/>
        <v>183.75</v>
      </c>
    </row>
    <row r="16" spans="1:8">
      <c r="A16">
        <v>15</v>
      </c>
      <c r="B16">
        <v>250</v>
      </c>
      <c r="C16">
        <v>-35</v>
      </c>
      <c r="D16">
        <v>0.32</v>
      </c>
      <c r="E16">
        <v>520</v>
      </c>
      <c r="F16">
        <f t="shared" si="0"/>
        <v>425.95906303027573</v>
      </c>
      <c r="G16">
        <f t="shared" si="1"/>
        <v>879.44311900881416</v>
      </c>
      <c r="H16">
        <f t="shared" si="2"/>
        <v>784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EECE07A648B4294A05A9866CA109F" ma:contentTypeVersion="17" ma:contentTypeDescription="Create a new document." ma:contentTypeScope="" ma:versionID="2ac15befdeb1f3e10c66573f5ec6f07d">
  <xsd:schema xmlns:xsd="http://www.w3.org/2001/XMLSchema" xmlns:xs="http://www.w3.org/2001/XMLSchema" xmlns:p="http://schemas.microsoft.com/office/2006/metadata/properties" xmlns:ns2="e64e81cb-3df3-4aaa-bb0a-b8a6b320cabe" xmlns:ns3="3bb6598d-4a41-492f-acfd-232ca5d718af" targetNamespace="http://schemas.microsoft.com/office/2006/metadata/properties" ma:root="true" ma:fieldsID="8f271ca018f11d965df5bb8146b411af" ns2:_="" ns3:_="">
    <xsd:import namespace="e64e81cb-3df3-4aaa-bb0a-b8a6b320cabe"/>
    <xsd:import namespace="3bb6598d-4a41-492f-acfd-232ca5d718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e81cb-3df3-4aaa-bb0a-b8a6b320ca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d757968-b5e0-43bf-af52-13bc706514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6598d-4a41-492f-acfd-232ca5d718a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67b5a4f-e110-4afe-981c-643e3310e0d8}" ma:internalName="TaxCatchAll" ma:showField="CatchAllData" ma:web="3bb6598d-4a41-492f-acfd-232ca5d718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4e81cb-3df3-4aaa-bb0a-b8a6b320cabe">
      <Terms xmlns="http://schemas.microsoft.com/office/infopath/2007/PartnerControls"/>
    </lcf76f155ced4ddcb4097134ff3c332f>
    <TaxCatchAll xmlns="3bb6598d-4a41-492f-acfd-232ca5d718af" xsi:nil="true"/>
  </documentManagement>
</p:properties>
</file>

<file path=customXml/itemProps1.xml><?xml version="1.0" encoding="utf-8"?>
<ds:datastoreItem xmlns:ds="http://schemas.openxmlformats.org/officeDocument/2006/customXml" ds:itemID="{5344594E-BB3E-4B59-AD3C-9039CBE9FB88}"/>
</file>

<file path=customXml/itemProps2.xml><?xml version="1.0" encoding="utf-8"?>
<ds:datastoreItem xmlns:ds="http://schemas.openxmlformats.org/officeDocument/2006/customXml" ds:itemID="{C4CAA8AB-862C-4568-B560-9019DDBBB7D7}"/>
</file>

<file path=customXml/itemProps3.xml><?xml version="1.0" encoding="utf-8"?>
<ds:datastoreItem xmlns:ds="http://schemas.openxmlformats.org/officeDocument/2006/customXml" ds:itemID="{73EAEAE1-5075-45DC-B43D-21BEA663EF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Central Florida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Tong Wan</dc:creator>
  <cp:keywords/>
  <dc:description/>
  <cp:lastModifiedBy>Zhongzhou Chen</cp:lastModifiedBy>
  <cp:revision/>
  <dcterms:created xsi:type="dcterms:W3CDTF">2025-09-17T13:44:10Z</dcterms:created>
  <dcterms:modified xsi:type="dcterms:W3CDTF">2025-09-17T14:17:26Z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0x0101005B1EECE07A648B4294A05A9866CA109F</vt:lpwstr>
  </property>
  <property fmtid="{D5CDD505-2E9C-101B-9397-08002B2CF9AE}" pid="3" name="MediaServiceImageTags">
    <vt:lpwstr/>
  </property>
</Properties>
</file>